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G:\Projects\R vs P Analysis\files\My project\Excel\"/>
    </mc:Choice>
  </mc:AlternateContent>
  <xr:revisionPtr revIDLastSave="0" documentId="13_ncr:1_{EBC6B898-F374-449E-88B8-CABD8AEE6A8E}" xr6:coauthVersionLast="47" xr6:coauthVersionMax="47" xr10:uidLastSave="{00000000-0000-0000-0000-000000000000}"/>
  <bookViews>
    <workbookView xWindow="-108" yWindow="-108" windowWidth="23256" windowHeight="13896" activeTab="2" xr2:uid="{2141F758-72CA-4BD0-A627-3D50D51E6C6A}"/>
  </bookViews>
  <sheets>
    <sheet name="P&amp;L Summary" sheetId="1" r:id="rId1"/>
    <sheet name="Trend &amp; Forecast" sheetId="4" r:id="rId2"/>
    <sheet name="Scenario Analysis" sheetId="5" r:id="rId3"/>
    <sheet name="Assumption" sheetId="3" r:id="rId4"/>
    <sheet name=" Data 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5" l="1"/>
  <c r="B12" i="5"/>
  <c r="B9" i="5"/>
  <c r="A38" i="4"/>
  <c r="A39" i="4" s="1"/>
  <c r="H39" i="2"/>
  <c r="G39" i="2"/>
  <c r="D8" i="2"/>
  <c r="C8" i="2"/>
  <c r="B8" i="2"/>
  <c r="E4" i="1"/>
  <c r="B7" i="3"/>
  <c r="C9" i="1"/>
  <c r="B9" i="1"/>
  <c r="D9" i="1" s="1"/>
  <c r="E9" i="1" s="1"/>
  <c r="D4" i="1"/>
  <c r="D5" i="1"/>
  <c r="E5" i="1" s="1"/>
  <c r="D6" i="1"/>
  <c r="E6" i="1" s="1"/>
  <c r="D7" i="1"/>
  <c r="E7" i="1" s="1"/>
  <c r="D8" i="1"/>
  <c r="E8" i="1" s="1"/>
  <c r="B14" i="5" l="1"/>
  <c r="B15" i="5" s="1"/>
  <c r="B17" i="5" s="1"/>
  <c r="B18" i="5" s="1"/>
  <c r="E21" i="5"/>
  <c r="B16" i="5"/>
  <c r="A40" i="4"/>
  <c r="B12" i="1"/>
  <c r="B13" i="1"/>
  <c r="C39" i="4"/>
  <c r="C38" i="4"/>
  <c r="E22" i="5" l="1"/>
  <c r="E23" i="5"/>
  <c r="A41" i="4"/>
  <c r="B18" i="1"/>
  <c r="B19" i="1"/>
  <c r="B15" i="1"/>
  <c r="B16" i="1"/>
  <c r="B17" i="1"/>
  <c r="C40" i="4"/>
  <c r="A42" i="4" l="1"/>
  <c r="B20" i="1"/>
  <c r="B21" i="1" s="1"/>
  <c r="B22" i="1" s="1"/>
  <c r="C41" i="4"/>
  <c r="A43" i="4" l="1"/>
  <c r="C43" i="4"/>
  <c r="C42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F156342-9D71-4E4F-8C0B-4437F889A488}" keepAlive="1" name="Query - category_summary" description="Connection to the 'category_summary' query in the workbook." type="5" refreshedVersion="8" background="1" saveData="1">
    <dbPr connection="Provider=Microsoft.Mashup.OleDb.1;Data Source=$Workbook$;Location=category_summary;Extended Properties=&quot;&quot;" command="SELECT * FROM [category_summary]"/>
  </connection>
</connections>
</file>

<file path=xl/sharedStrings.xml><?xml version="1.0" encoding="utf-8"?>
<sst xmlns="http://schemas.openxmlformats.org/spreadsheetml/2006/main" count="74" uniqueCount="52">
  <si>
    <t>category</t>
  </si>
  <si>
    <t>net_revenue</t>
  </si>
  <si>
    <t>cogs</t>
  </si>
  <si>
    <t>gross_profit</t>
  </si>
  <si>
    <t>Womenswear</t>
  </si>
  <si>
    <t>Footwear</t>
  </si>
  <si>
    <t>Menswear</t>
  </si>
  <si>
    <t>Accessories</t>
  </si>
  <si>
    <t>Kidswear</t>
  </si>
  <si>
    <t>Category</t>
  </si>
  <si>
    <t>Net Revenue</t>
  </si>
  <si>
    <t>COGS</t>
  </si>
  <si>
    <t>Gross Profit</t>
  </si>
  <si>
    <t>Gross Margin %</t>
  </si>
  <si>
    <t>Total</t>
  </si>
  <si>
    <t>Operating Expense Assumptions (% of net revenue)</t>
  </si>
  <si>
    <t>Rent &amp; Occupancy</t>
  </si>
  <si>
    <t>Salaries &amp; Staff</t>
  </si>
  <si>
    <t>Marketing</t>
  </si>
  <si>
    <t>Logistics &amp; Distribution</t>
  </si>
  <si>
    <t>Admin &amp; Other</t>
  </si>
  <si>
    <t>Total Opex %</t>
  </si>
  <si>
    <t>Total Net Revenue</t>
  </si>
  <si>
    <t>Total Gross Profit</t>
  </si>
  <si>
    <t>Less: Operating Expenses</t>
  </si>
  <si>
    <t>Total Operating Expenses</t>
  </si>
  <si>
    <t>Operating Profit (EBIT)</t>
  </si>
  <si>
    <t>Operating Margin %</t>
  </si>
  <si>
    <t>Opex %</t>
  </si>
  <si>
    <t>Note: "Operating expenses modelled as % of net revenue (see Assumptions) ---&gt; illustrative, not actual"</t>
  </si>
  <si>
    <t>"Source: Vastra Junction sales data 2023–2025 · figures in ₹."</t>
  </si>
  <si>
    <t>month</t>
  </si>
  <si>
    <t>Month</t>
  </si>
  <si>
    <t>Revenue</t>
  </si>
  <si>
    <t>Forecast</t>
  </si>
  <si>
    <t xml:space="preserve">                            Vastra Junction – Scenario Analysis: Discount Policy Impact</t>
  </si>
  <si>
    <t>Scenario</t>
  </si>
  <si>
    <t>Base</t>
  </si>
  <si>
    <t>Optimistic</t>
  </si>
  <si>
    <t>Pessimistic</t>
  </si>
  <si>
    <t>Selected Scenario:</t>
  </si>
  <si>
    <t>Margin shift applied:</t>
  </si>
  <si>
    <t>Base Gross Margin %</t>
  </si>
  <si>
    <t>Scenario Gross Margin %</t>
  </si>
  <si>
    <t>Scenario Gross Profit</t>
  </si>
  <si>
    <t>Operating Expenses</t>
  </si>
  <si>
    <t>EBIT</t>
  </si>
  <si>
    <t>Data_Category</t>
  </si>
  <si>
    <t xml:space="preserve">Data_Monthly </t>
  </si>
  <si>
    <t>Company Operating P&amp;L</t>
  </si>
  <si>
    <t>Vastra Junction – P&amp;L Summary (FY 2023-2025)</t>
  </si>
  <si>
    <t>Gross Margin Shift (pts)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</si>
</sst>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₹&quot;\ #,##0;[Red]&quot;₹&quot;\ \-#,##0"/>
    <numFmt numFmtId="164" formatCode="&quot;₹&quot;\ ###,##0"/>
    <numFmt numFmtId="165" formatCode="&quot;₹&quot;\ #,##0"/>
  </numFmts>
  <fonts count="13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sz val="12"/>
      <color rgb="FF00B0F0"/>
      <name val="Aptos Narrow"/>
      <family val="2"/>
      <scheme val="minor"/>
    </font>
    <font>
      <sz val="10"/>
      <color rgb="FF00B0F0"/>
      <name val="Arial Unicode MS"/>
    </font>
    <font>
      <b/>
      <sz val="13"/>
      <color theme="1"/>
      <name val="Aptos Narrow"/>
      <family val="2"/>
      <scheme val="minor"/>
    </font>
    <font>
      <sz val="13"/>
      <color theme="1"/>
      <name val="Aptos Narrow"/>
      <family val="2"/>
      <scheme val="minor"/>
    </font>
    <font>
      <b/>
      <i/>
      <sz val="12"/>
      <color theme="1"/>
      <name val="Aptos Narrow"/>
      <family val="2"/>
      <scheme val="minor"/>
    </font>
    <font>
      <b/>
      <i/>
      <sz val="16"/>
      <color theme="1"/>
      <name val="Aptos Narrow"/>
      <family val="2"/>
      <scheme val="minor"/>
    </font>
    <font>
      <b/>
      <i/>
      <sz val="13"/>
      <color theme="1"/>
      <name val="Aptos Narrow"/>
      <family val="2"/>
      <scheme val="minor"/>
    </font>
    <font>
      <b/>
      <i/>
      <sz val="14"/>
      <color theme="1"/>
      <name val="Aptos Narrow"/>
      <family val="2"/>
      <scheme val="minor"/>
    </font>
    <font>
      <sz val="12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EFEBE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3">
    <xf numFmtId="0" fontId="0" fillId="0" borderId="0" xfId="0"/>
    <xf numFmtId="9" fontId="4" fillId="0" borderId="0" xfId="0" applyNumberFormat="1" applyFont="1"/>
    <xf numFmtId="9" fontId="5" fillId="0" borderId="0" xfId="0" applyNumberFormat="1" applyFont="1"/>
    <xf numFmtId="0" fontId="7" fillId="0" borderId="0" xfId="0" applyFont="1"/>
    <xf numFmtId="0" fontId="0" fillId="0" borderId="1" xfId="0" applyBorder="1"/>
    <xf numFmtId="0" fontId="8" fillId="0" borderId="0" xfId="0" applyFont="1"/>
    <xf numFmtId="6" fontId="0" fillId="0" borderId="0" xfId="0" applyNumberFormat="1"/>
    <xf numFmtId="6" fontId="2" fillId="0" borderId="0" xfId="0" applyNumberFormat="1" applyFont="1"/>
    <xf numFmtId="6" fontId="0" fillId="0" borderId="0" xfId="0" applyNumberFormat="1" applyAlignment="1">
      <alignment horizontal="right"/>
    </xf>
    <xf numFmtId="6" fontId="8" fillId="0" borderId="0" xfId="0" applyNumberFormat="1" applyFont="1"/>
    <xf numFmtId="0" fontId="8" fillId="0" borderId="1" xfId="0" applyFont="1" applyBorder="1" applyAlignment="1">
      <alignment horizontal="left"/>
    </xf>
    <xf numFmtId="0" fontId="8" fillId="0" borderId="0" xfId="0" applyFont="1" applyAlignment="1">
      <alignment horizontal="left"/>
    </xf>
    <xf numFmtId="6" fontId="8" fillId="0" borderId="1" xfId="0" applyNumberFormat="1" applyFont="1" applyBorder="1" applyAlignment="1">
      <alignment horizontal="left"/>
    </xf>
    <xf numFmtId="0" fontId="10" fillId="2" borderId="1" xfId="0" applyFont="1" applyFill="1" applyBorder="1" applyAlignment="1">
      <alignment horizontal="center"/>
    </xf>
    <xf numFmtId="0" fontId="10" fillId="2" borderId="0" xfId="0" applyFont="1" applyFill="1" applyAlignment="1">
      <alignment horizontal="left"/>
    </xf>
    <xf numFmtId="164" fontId="7" fillId="0" borderId="0" xfId="0" applyNumberFormat="1" applyFont="1"/>
    <xf numFmtId="0" fontId="2" fillId="0" borderId="1" xfId="0" applyFont="1" applyBorder="1"/>
    <xf numFmtId="9" fontId="2" fillId="0" borderId="1" xfId="0" applyNumberFormat="1" applyFont="1" applyBorder="1"/>
    <xf numFmtId="0" fontId="6" fillId="0" borderId="1" xfId="0" applyFont="1" applyBorder="1"/>
    <xf numFmtId="10" fontId="8" fillId="0" borderId="2" xfId="1" applyNumberFormat="1" applyFont="1" applyBorder="1" applyAlignment="1">
      <alignment horizontal="left"/>
    </xf>
    <xf numFmtId="10" fontId="0" fillId="0" borderId="0" xfId="1" applyNumberFormat="1" applyFont="1" applyBorder="1"/>
    <xf numFmtId="10" fontId="2" fillId="0" borderId="0" xfId="1" applyNumberFormat="1" applyFont="1" applyBorder="1"/>
    <xf numFmtId="14" fontId="7" fillId="0" borderId="0" xfId="0" applyNumberFormat="1" applyFont="1"/>
    <xf numFmtId="0" fontId="11" fillId="0" borderId="0" xfId="0" applyFont="1" applyAlignment="1">
      <alignment horizontal="center"/>
    </xf>
    <xf numFmtId="164" fontId="2" fillId="0" borderId="0" xfId="0" applyNumberFormat="1" applyFont="1"/>
    <xf numFmtId="164" fontId="11" fillId="0" borderId="0" xfId="0" applyNumberFormat="1" applyFont="1" applyAlignment="1">
      <alignment horizontal="center"/>
    </xf>
    <xf numFmtId="14" fontId="7" fillId="0" borderId="1" xfId="0" applyNumberFormat="1" applyFont="1" applyBorder="1"/>
    <xf numFmtId="164" fontId="7" fillId="0" borderId="1" xfId="0" applyNumberFormat="1" applyFont="1" applyBorder="1"/>
    <xf numFmtId="9" fontId="0" fillId="0" borderId="0" xfId="1" applyFont="1"/>
    <xf numFmtId="165" fontId="0" fillId="0" borderId="0" xfId="0" applyNumberFormat="1"/>
    <xf numFmtId="10" fontId="0" fillId="0" borderId="0" xfId="1" applyNumberFormat="1" applyFont="1"/>
    <xf numFmtId="10" fontId="0" fillId="0" borderId="0" xfId="0" applyNumberFormat="1"/>
    <xf numFmtId="0" fontId="6" fillId="0" borderId="1" xfId="0" applyFont="1" applyBorder="1" applyAlignment="1">
      <alignment horizontal="center"/>
    </xf>
    <xf numFmtId="165" fontId="6" fillId="0" borderId="1" xfId="0" applyNumberFormat="1" applyFont="1" applyBorder="1"/>
    <xf numFmtId="164" fontId="6" fillId="0" borderId="1" xfId="0" applyNumberFormat="1" applyFont="1" applyBorder="1"/>
    <xf numFmtId="0" fontId="3" fillId="2" borderId="0" xfId="0" applyFont="1" applyFill="1"/>
    <xf numFmtId="0" fontId="9" fillId="2" borderId="0" xfId="0" applyFont="1" applyFill="1" applyAlignment="1">
      <alignment horizontal="center"/>
    </xf>
    <xf numFmtId="0" fontId="8" fillId="0" borderId="3" xfId="0" applyFont="1" applyBorder="1" applyAlignment="1">
      <alignment horizontal="center"/>
    </xf>
    <xf numFmtId="165" fontId="12" fillId="0" borderId="0" xfId="0" applyNumberFormat="1" applyFont="1"/>
    <xf numFmtId="0" fontId="8" fillId="2" borderId="0" xfId="0" applyFont="1" applyFill="1" applyAlignment="1">
      <alignment horizontal="right"/>
    </xf>
    <xf numFmtId="0" fontId="8" fillId="2" borderId="0" xfId="0" applyFont="1" applyFill="1" applyAlignment="1">
      <alignment horizontal="left"/>
    </xf>
    <xf numFmtId="9" fontId="12" fillId="0" borderId="0" xfId="1" applyFont="1"/>
    <xf numFmtId="0" fontId="0" fillId="3" borderId="0" xfId="0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EFEBE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 i="1"/>
              <a:t>Monthly Revenue: 36-Month Actuals with 6-Month Forecast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Actual Revenue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'Trend &amp; Forecast'!$A$2:$A$43</c:f>
              <c:numCache>
                <c:formatCode>m/d/yyyy</c:formatCode>
                <c:ptCount val="42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  <c:pt idx="24">
                  <c:v>45658</c:v>
                </c:pt>
                <c:pt idx="25">
                  <c:v>45689</c:v>
                </c:pt>
                <c:pt idx="26">
                  <c:v>45717</c:v>
                </c:pt>
                <c:pt idx="27">
                  <c:v>45748</c:v>
                </c:pt>
                <c:pt idx="28">
                  <c:v>45778</c:v>
                </c:pt>
                <c:pt idx="29">
                  <c:v>45809</c:v>
                </c:pt>
                <c:pt idx="30">
                  <c:v>45839</c:v>
                </c:pt>
                <c:pt idx="31">
                  <c:v>45870</c:v>
                </c:pt>
                <c:pt idx="32">
                  <c:v>45901</c:v>
                </c:pt>
                <c:pt idx="33">
                  <c:v>45931</c:v>
                </c:pt>
                <c:pt idx="34">
                  <c:v>45962</c:v>
                </c:pt>
                <c:pt idx="35">
                  <c:v>45992</c:v>
                </c:pt>
                <c:pt idx="36">
                  <c:v>46023</c:v>
                </c:pt>
                <c:pt idx="37">
                  <c:v>46054</c:v>
                </c:pt>
                <c:pt idx="38">
                  <c:v>46082</c:v>
                </c:pt>
                <c:pt idx="39">
                  <c:v>46113</c:v>
                </c:pt>
                <c:pt idx="40">
                  <c:v>46143</c:v>
                </c:pt>
                <c:pt idx="41">
                  <c:v>46174</c:v>
                </c:pt>
              </c:numCache>
            </c:numRef>
          </c:cat>
          <c:val>
            <c:numRef>
              <c:f>'Trend &amp; Forecast'!$B$2:$B$43</c:f>
              <c:numCache>
                <c:formatCode>"₹"\ ###,##0</c:formatCode>
                <c:ptCount val="42"/>
                <c:pt idx="0">
                  <c:v>372237</c:v>
                </c:pt>
                <c:pt idx="1">
                  <c:v>231407</c:v>
                </c:pt>
                <c:pt idx="2">
                  <c:v>469500</c:v>
                </c:pt>
                <c:pt idx="3">
                  <c:v>385410</c:v>
                </c:pt>
                <c:pt idx="4">
                  <c:v>480468</c:v>
                </c:pt>
                <c:pt idx="5">
                  <c:v>400254</c:v>
                </c:pt>
                <c:pt idx="6">
                  <c:v>352678</c:v>
                </c:pt>
                <c:pt idx="7">
                  <c:v>610526</c:v>
                </c:pt>
                <c:pt idx="8">
                  <c:v>524766</c:v>
                </c:pt>
                <c:pt idx="9">
                  <c:v>675655</c:v>
                </c:pt>
                <c:pt idx="10">
                  <c:v>568493</c:v>
                </c:pt>
                <c:pt idx="11">
                  <c:v>497646</c:v>
                </c:pt>
                <c:pt idx="12">
                  <c:v>372171</c:v>
                </c:pt>
                <c:pt idx="13">
                  <c:v>412667</c:v>
                </c:pt>
                <c:pt idx="14">
                  <c:v>457719</c:v>
                </c:pt>
                <c:pt idx="15">
                  <c:v>569683</c:v>
                </c:pt>
                <c:pt idx="16">
                  <c:v>557012</c:v>
                </c:pt>
                <c:pt idx="17">
                  <c:v>368536</c:v>
                </c:pt>
                <c:pt idx="18">
                  <c:v>298401</c:v>
                </c:pt>
                <c:pt idx="19">
                  <c:v>501093</c:v>
                </c:pt>
                <c:pt idx="20">
                  <c:v>474190</c:v>
                </c:pt>
                <c:pt idx="21">
                  <c:v>636932</c:v>
                </c:pt>
                <c:pt idx="22">
                  <c:v>550675</c:v>
                </c:pt>
                <c:pt idx="23">
                  <c:v>632336</c:v>
                </c:pt>
                <c:pt idx="24">
                  <c:v>497296</c:v>
                </c:pt>
                <c:pt idx="25">
                  <c:v>513835</c:v>
                </c:pt>
                <c:pt idx="26">
                  <c:v>550218</c:v>
                </c:pt>
                <c:pt idx="27">
                  <c:v>603840</c:v>
                </c:pt>
                <c:pt idx="28">
                  <c:v>530144</c:v>
                </c:pt>
                <c:pt idx="29">
                  <c:v>467738</c:v>
                </c:pt>
                <c:pt idx="30">
                  <c:v>392737</c:v>
                </c:pt>
                <c:pt idx="31">
                  <c:v>459357</c:v>
                </c:pt>
                <c:pt idx="32">
                  <c:v>562122</c:v>
                </c:pt>
                <c:pt idx="33">
                  <c:v>573956</c:v>
                </c:pt>
                <c:pt idx="34">
                  <c:v>777970</c:v>
                </c:pt>
                <c:pt idx="35">
                  <c:v>656876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F0-42D3-8724-D6FC312C29D5}"/>
            </c:ext>
          </c:extLst>
        </c:ser>
        <c:ser>
          <c:idx val="1"/>
          <c:order val="1"/>
          <c:tx>
            <c:v>Forecast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'Trend &amp; Forecast'!$A$2:$A$43</c:f>
              <c:numCache>
                <c:formatCode>m/d/yyyy</c:formatCode>
                <c:ptCount val="42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  <c:pt idx="24">
                  <c:v>45658</c:v>
                </c:pt>
                <c:pt idx="25">
                  <c:v>45689</c:v>
                </c:pt>
                <c:pt idx="26">
                  <c:v>45717</c:v>
                </c:pt>
                <c:pt idx="27">
                  <c:v>45748</c:v>
                </c:pt>
                <c:pt idx="28">
                  <c:v>45778</c:v>
                </c:pt>
                <c:pt idx="29">
                  <c:v>45809</c:v>
                </c:pt>
                <c:pt idx="30">
                  <c:v>45839</c:v>
                </c:pt>
                <c:pt idx="31">
                  <c:v>45870</c:v>
                </c:pt>
                <c:pt idx="32">
                  <c:v>45901</c:v>
                </c:pt>
                <c:pt idx="33">
                  <c:v>45931</c:v>
                </c:pt>
                <c:pt idx="34">
                  <c:v>45962</c:v>
                </c:pt>
                <c:pt idx="35">
                  <c:v>45992</c:v>
                </c:pt>
                <c:pt idx="36">
                  <c:v>46023</c:v>
                </c:pt>
                <c:pt idx="37">
                  <c:v>46054</c:v>
                </c:pt>
                <c:pt idx="38">
                  <c:v>46082</c:v>
                </c:pt>
                <c:pt idx="39">
                  <c:v>46113</c:v>
                </c:pt>
                <c:pt idx="40">
                  <c:v>46143</c:v>
                </c:pt>
                <c:pt idx="41">
                  <c:v>46174</c:v>
                </c:pt>
              </c:numCache>
            </c:numRef>
          </c:cat>
          <c:val>
            <c:numRef>
              <c:f>'Trend &amp; Forecast'!$C$2:$C$43</c:f>
              <c:numCache>
                <c:formatCode>General</c:formatCode>
                <c:ptCount val="42"/>
                <c:pt idx="36" formatCode="&quot;₹&quot;\ ###,##0">
                  <c:v>450991</c:v>
                </c:pt>
                <c:pt idx="37" formatCode="&quot;₹&quot;\ ###,##0">
                  <c:v>620649</c:v>
                </c:pt>
                <c:pt idx="38" formatCode="&quot;₹&quot;\ ###,##0">
                  <c:v>614563</c:v>
                </c:pt>
                <c:pt idx="39" formatCode="&quot;₹&quot;\ ###,##0">
                  <c:v>676350</c:v>
                </c:pt>
                <c:pt idx="40" formatCode="&quot;₹&quot;\ ###,##0">
                  <c:v>667482</c:v>
                </c:pt>
                <c:pt idx="41" formatCode="&quot;₹&quot;\ ###,##0">
                  <c:v>557794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6F0-42D3-8724-D6FC312C29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9212127"/>
        <c:axId val="474604559"/>
      </c:lineChart>
      <c:dateAx>
        <c:axId val="4692121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algn="ctr"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/>
                  <a:t>"</a:t>
                </a:r>
                <a:r>
                  <a:rPr lang="en-IN" sz="1000" b="0" i="1" u="none" strike="noStrike" baseline="0"/>
                  <a:t>Forecast is statistical (seasonal ETS) on synthetic history–illustrative, not a business plan."</a:t>
                </a:r>
                <a:endParaRPr lang="en-IN" b="0" i="1"/>
              </a:p>
            </c:rich>
          </c:tx>
          <c:layout>
            <c:manualLayout>
              <c:xMode val="edge"/>
              <c:yMode val="edge"/>
              <c:x val="0.1786919164035741"/>
              <c:y val="0.8453036260375710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algn="ctr"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m/d/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4604559"/>
        <c:crosses val="autoZero"/>
        <c:auto val="1"/>
        <c:lblOffset val="100"/>
        <c:baseTimeUnit val="months"/>
      </c:dateAx>
      <c:valAx>
        <c:axId val="474604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 </a:t>
                </a:r>
                <a:r>
                  <a:rPr lang="en-IN" sz="1000" b="0" i="1" u="none" strike="noStrike" baseline="0"/>
                  <a:t>Net Revenue(₹)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₹&quot;\ ##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9212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3207663541716918"/>
          <c:y val="0.21485364788117081"/>
          <c:w val="0.39023493404372783"/>
          <c:h val="7.37226654007698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Operating</a:t>
            </a:r>
            <a:r>
              <a:rPr lang="en-IN" baseline="0"/>
              <a:t> Profit by Scenario </a:t>
            </a:r>
            <a:endParaRPr lang="en-IN"/>
          </a:p>
        </c:rich>
      </c:tx>
      <c:overlay val="0"/>
      <c:spPr>
        <a:solidFill>
          <a:schemeClr val="bg1">
            <a:lumMod val="9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'Scenario Analysis'!$E$20</c:f>
              <c:strCache>
                <c:ptCount val="1"/>
                <c:pt idx="0">
                  <c:v>EBIT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0F0">
                  <a:alpha val="92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E29-4487-A790-526A4FC7C6B6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E29-4487-A790-526A4FC7C6B6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E29-4487-A790-526A4FC7C6B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'Scenario Analysis'!$D$21:$D$23</c:f>
              <c:strCache>
                <c:ptCount val="3"/>
                <c:pt idx="0">
                  <c:v>Base</c:v>
                </c:pt>
                <c:pt idx="1">
                  <c:v>Optimistic</c:v>
                </c:pt>
                <c:pt idx="2">
                  <c:v>Pessimistic</c:v>
                </c:pt>
              </c:strCache>
            </c:strRef>
          </c:cat>
          <c:val>
            <c:numRef>
              <c:f>'Scenario Analysis'!$E$21:$E$23</c:f>
              <c:numCache>
                <c:formatCode>"₹"\ #,##0</c:formatCode>
                <c:ptCount val="3"/>
                <c:pt idx="0">
                  <c:v>1192652.8399999999</c:v>
                </c:pt>
                <c:pt idx="1">
                  <c:v>1732249.25</c:v>
                </c:pt>
                <c:pt idx="2">
                  <c:v>653056.43000000063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E29-4487-A790-526A4FC7C6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50911743"/>
        <c:axId val="2062643919"/>
      </c:barChart>
      <c:catAx>
        <c:axId val="2050911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2643919"/>
        <c:crosses val="autoZero"/>
        <c:auto val="1"/>
        <c:lblAlgn val="ctr"/>
        <c:lblOffset val="100"/>
        <c:noMultiLvlLbl val="0"/>
      </c:catAx>
      <c:valAx>
        <c:axId val="2062643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09117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662940</xdr:colOff>
      <xdr:row>14</xdr:row>
      <xdr:rowOff>0</xdr:rowOff>
    </xdr:from>
    <xdr:ext cx="4023360" cy="83820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CA4BAD2-7E43-A075-3C12-A1E684DAD7FA}"/>
            </a:ext>
          </a:extLst>
        </xdr:cNvPr>
        <xdr:cNvSpPr txBox="1"/>
      </xdr:nvSpPr>
      <xdr:spPr>
        <a:xfrm>
          <a:off x="8785860" y="2887980"/>
          <a:ext cx="4023360" cy="8382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100" b="1" i="1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Key Insight:</a:t>
          </a:r>
          <a:r>
            <a:rPr lang="en-IN" i="1"/>
            <a:t> Gross margin </a:t>
          </a:r>
          <a:r>
            <a:rPr lang="en-IN" b="1" i="1"/>
            <a:t>(34.6%)</a:t>
          </a:r>
          <a:r>
            <a:rPr lang="en-IN" i="1"/>
            <a:t> compresses to a thin </a:t>
          </a:r>
          <a:r>
            <a:rPr lang="en-IN" b="1" i="1"/>
            <a:t>6.6%</a:t>
          </a:r>
          <a:r>
            <a:rPr lang="en-IN" i="1"/>
            <a:t> operating margin after modelled costs. Due to </a:t>
          </a:r>
          <a:r>
            <a:rPr lang="en-IN"/>
            <a:t>compressed margins, </a:t>
          </a:r>
          <a:r>
            <a:rPr lang="en-IN" i="1"/>
            <a:t>any discount leakage poses a material threat to profitability.</a:t>
          </a:r>
          <a:endParaRPr lang="en-IN" sz="1100" i="1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666750</xdr:colOff>
      <xdr:row>30</xdr:row>
      <xdr:rowOff>7620</xdr:rowOff>
    </xdr:from>
    <xdr:to>
      <xdr:col>11</xdr:col>
      <xdr:colOff>91440</xdr:colOff>
      <xdr:row>43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77B925-E209-414D-91E6-BE96D1CFA4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586740</xdr:colOff>
      <xdr:row>25</xdr:row>
      <xdr:rowOff>30480</xdr:rowOff>
    </xdr:from>
    <xdr:to>
      <xdr:col>13</xdr:col>
      <xdr:colOff>449580</xdr:colOff>
      <xdr:row>27</xdr:row>
      <xdr:rowOff>91440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BB3C145-AB52-4804-A73B-DE3163F68064}"/>
            </a:ext>
          </a:extLst>
        </xdr:cNvPr>
        <xdr:cNvSpPr txBox="1"/>
      </xdr:nvSpPr>
      <xdr:spPr>
        <a:xfrm>
          <a:off x="8641080" y="5090160"/>
          <a:ext cx="5440680" cy="457200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 b="1"/>
            <a:t>Note:</a:t>
          </a:r>
          <a:r>
            <a:rPr lang="en-IN" sz="1100" b="1" baseline="0"/>
            <a:t> </a:t>
          </a:r>
          <a:r>
            <a:rPr lang="en-IN" i="1"/>
            <a:t>"Models gross-margin effect of discount policy only; revenue and opex % held constant."</a:t>
          </a:r>
          <a:endParaRPr lang="en-IN" sz="1100" i="1"/>
        </a:p>
      </xdr:txBody>
    </xdr:sp>
    <xdr:clientData/>
  </xdr:twoCellAnchor>
  <xdr:twoCellAnchor>
    <xdr:from>
      <xdr:col>2</xdr:col>
      <xdr:colOff>518160</xdr:colOff>
      <xdr:row>1</xdr:row>
      <xdr:rowOff>190500</xdr:rowOff>
    </xdr:from>
    <xdr:to>
      <xdr:col>8</xdr:col>
      <xdr:colOff>114300</xdr:colOff>
      <xdr:row>17</xdr:row>
      <xdr:rowOff>182880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4A008A1-1B1A-4AB1-BF5E-EE2A48F8A7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7FC32-1190-448D-AA4E-E7488460B5A6}">
  <dimension ref="A1:T25"/>
  <sheetViews>
    <sheetView showGridLines="0" zoomScaleNormal="100" workbookViewId="0">
      <selection activeCell="A25" sqref="A25:D25"/>
    </sheetView>
  </sheetViews>
  <sheetFormatPr defaultRowHeight="15.6"/>
  <cols>
    <col min="1" max="1" width="37.59765625" customWidth="1"/>
    <col min="2" max="2" width="19.19921875" customWidth="1"/>
    <col min="3" max="3" width="16.296875" customWidth="1"/>
    <col min="4" max="4" width="18.296875" customWidth="1"/>
    <col min="5" max="5" width="19.8984375" customWidth="1"/>
  </cols>
  <sheetData>
    <row r="1" spans="1:20" ht="21">
      <c r="A1" s="36" t="s">
        <v>50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</row>
    <row r="3" spans="1:20" ht="17.399999999999999">
      <c r="A3" s="13" t="s">
        <v>9</v>
      </c>
      <c r="B3" s="13" t="s">
        <v>10</v>
      </c>
      <c r="C3" s="13" t="s">
        <v>11</v>
      </c>
      <c r="D3" s="13" t="s">
        <v>12</v>
      </c>
      <c r="E3" s="13" t="s">
        <v>13</v>
      </c>
    </row>
    <row r="4" spans="1:20">
      <c r="A4" t="s">
        <v>4</v>
      </c>
      <c r="B4" s="6">
        <v>5411562</v>
      </c>
      <c r="C4" s="6">
        <v>3505759</v>
      </c>
      <c r="D4" s="6">
        <f>'P&amp;L Summary'!$B4-'P&amp;L Summary'!$C4</f>
        <v>1905803</v>
      </c>
      <c r="E4" s="20">
        <f>'P&amp;L Summary'!$D4/'P&amp;L Summary'!$B4</f>
        <v>0.35217244115469803</v>
      </c>
    </row>
    <row r="5" spans="1:20">
      <c r="A5" t="s">
        <v>5</v>
      </c>
      <c r="B5" s="6">
        <v>4157866</v>
      </c>
      <c r="C5" s="6">
        <v>2894078</v>
      </c>
      <c r="D5" s="6">
        <f>'P&amp;L Summary'!$B5-'P&amp;L Summary'!$C5</f>
        <v>1263788</v>
      </c>
      <c r="E5" s="20">
        <f>'P&amp;L Summary'!$D5/'P&amp;L Summary'!$B5</f>
        <v>0.30395111338364439</v>
      </c>
    </row>
    <row r="6" spans="1:20">
      <c r="A6" t="s">
        <v>6</v>
      </c>
      <c r="B6" s="6">
        <v>3597071</v>
      </c>
      <c r="C6" s="6">
        <v>2205797</v>
      </c>
      <c r="D6" s="6">
        <f>'P&amp;L Summary'!$B6-'P&amp;L Summary'!$C6</f>
        <v>1391274</v>
      </c>
      <c r="E6" s="20">
        <f>'P&amp;L Summary'!$D6/'P&amp;L Summary'!$B6</f>
        <v>0.38677968825191383</v>
      </c>
    </row>
    <row r="7" spans="1:20">
      <c r="A7" t="s">
        <v>7</v>
      </c>
      <c r="B7" s="6">
        <v>3491305</v>
      </c>
      <c r="C7" s="6">
        <v>2342499</v>
      </c>
      <c r="D7" s="6">
        <f>'P&amp;L Summary'!$B7-'P&amp;L Summary'!$C7</f>
        <v>1148806</v>
      </c>
      <c r="E7" s="20">
        <f>'P&amp;L Summary'!$D7/'P&amp;L Summary'!$B7</f>
        <v>0.32904773429992512</v>
      </c>
    </row>
    <row r="8" spans="1:20">
      <c r="A8" t="s">
        <v>8</v>
      </c>
      <c r="B8" s="6">
        <v>1328743</v>
      </c>
      <c r="C8" s="6">
        <v>809528</v>
      </c>
      <c r="D8" s="6">
        <f>'P&amp;L Summary'!$B8-'P&amp;L Summary'!$C8</f>
        <v>519215</v>
      </c>
      <c r="E8" s="20">
        <f>'P&amp;L Summary'!$D8/'P&amp;L Summary'!$B8</f>
        <v>0.39075652703344438</v>
      </c>
    </row>
    <row r="9" spans="1:20">
      <c r="A9" t="s">
        <v>14</v>
      </c>
      <c r="B9" s="7">
        <f>SUM(B4:B8)</f>
        <v>17986547</v>
      </c>
      <c r="C9" s="7">
        <f>SUM(C4:C8)</f>
        <v>11757661</v>
      </c>
      <c r="D9" s="7">
        <f>'P&amp;L Summary'!$B9-'P&amp;L Summary'!$C9</f>
        <v>6228886</v>
      </c>
      <c r="E9" s="21">
        <f>'P&amp;L Summary'!$D9/'P&amp;L Summary'!$B9</f>
        <v>0.34630804901018525</v>
      </c>
    </row>
    <row r="10" spans="1:20">
      <c r="A10" s="4"/>
      <c r="B10" s="4"/>
      <c r="C10" s="4"/>
      <c r="D10" s="4"/>
      <c r="E10" s="4"/>
    </row>
    <row r="11" spans="1:20" ht="17.399999999999999">
      <c r="A11" s="14" t="s">
        <v>49</v>
      </c>
    </row>
    <row r="12" spans="1:20">
      <c r="A12" t="s">
        <v>22</v>
      </c>
      <c r="B12" s="6">
        <f>B9</f>
        <v>17986547</v>
      </c>
    </row>
    <row r="13" spans="1:20">
      <c r="A13" t="s">
        <v>23</v>
      </c>
      <c r="B13" s="8">
        <f>D9</f>
        <v>6228886</v>
      </c>
    </row>
    <row r="14" spans="1:20">
      <c r="A14" t="s">
        <v>24</v>
      </c>
      <c r="B14" s="6"/>
    </row>
    <row r="15" spans="1:20">
      <c r="A15" t="s">
        <v>16</v>
      </c>
      <c r="B15" s="6">
        <f>$B$12*Assumption!$B$2</f>
        <v>1798654.7000000002</v>
      </c>
    </row>
    <row r="16" spans="1:20">
      <c r="A16" t="s">
        <v>17</v>
      </c>
      <c r="B16" s="6">
        <f>$B$12*Assumption!$B$3</f>
        <v>1438923.76</v>
      </c>
    </row>
    <row r="17" spans="1:4">
      <c r="A17" t="s">
        <v>18</v>
      </c>
      <c r="B17" s="6">
        <f>$B$12*Assumption!$B$4</f>
        <v>719461.88</v>
      </c>
    </row>
    <row r="18" spans="1:4">
      <c r="A18" t="s">
        <v>19</v>
      </c>
      <c r="B18" s="6">
        <f>$B$12*Assumption!$B$5</f>
        <v>539596.41</v>
      </c>
    </row>
    <row r="19" spans="1:4">
      <c r="A19" t="s">
        <v>20</v>
      </c>
      <c r="B19" s="6">
        <f>$B$12*Assumption!$B$6</f>
        <v>539596.41</v>
      </c>
    </row>
    <row r="20" spans="1:4">
      <c r="A20" s="5" t="s">
        <v>25</v>
      </c>
      <c r="B20" s="9">
        <f>SUM(B15:B19)</f>
        <v>5036233.16</v>
      </c>
    </row>
    <row r="21" spans="1:4">
      <c r="A21" s="10" t="s">
        <v>26</v>
      </c>
      <c r="B21" s="12">
        <f>B13-B20</f>
        <v>1192652.8399999999</v>
      </c>
    </row>
    <row r="22" spans="1:4" ht="16.2" thickBot="1">
      <c r="A22" s="11" t="s">
        <v>27</v>
      </c>
      <c r="B22" s="19">
        <f>B21/B12</f>
        <v>6.6308049010185222E-2</v>
      </c>
    </row>
    <row r="23" spans="1:4" ht="16.2" thickTop="1"/>
    <row r="24" spans="1:4">
      <c r="A24" s="35" t="s">
        <v>30</v>
      </c>
      <c r="B24" s="35"/>
    </row>
    <row r="25" spans="1:4">
      <c r="A25" s="35" t="s">
        <v>29</v>
      </c>
      <c r="B25" s="35"/>
      <c r="C25" s="35"/>
      <c r="D25" s="35"/>
    </row>
  </sheetData>
  <mergeCells count="4">
    <mergeCell ref="A24:B24"/>
    <mergeCell ref="A1:J1"/>
    <mergeCell ref="A25:D25"/>
    <mergeCell ref="K1:T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707AA-F7ED-4E3C-B197-1ADA929188E8}">
  <dimension ref="A1:D43"/>
  <sheetViews>
    <sheetView showGridLines="0" topLeftCell="A24" zoomScaleNormal="100" workbookViewId="0">
      <selection activeCell="M32" sqref="M32"/>
    </sheetView>
  </sheetViews>
  <sheetFormatPr defaultRowHeight="15.6"/>
  <cols>
    <col min="1" max="1" width="20.69921875" customWidth="1"/>
    <col min="2" max="2" width="17.796875" customWidth="1"/>
    <col min="3" max="3" width="20.5" customWidth="1"/>
    <col min="4" max="4" width="19.3984375" customWidth="1"/>
  </cols>
  <sheetData>
    <row r="1" spans="1:4" ht="18">
      <c r="A1" s="23" t="s">
        <v>32</v>
      </c>
      <c r="B1" s="25" t="s">
        <v>33</v>
      </c>
      <c r="C1" s="23" t="s">
        <v>34</v>
      </c>
      <c r="D1" s="23"/>
    </row>
    <row r="2" spans="1:4" ht="17.399999999999999">
      <c r="A2" s="22">
        <v>44927</v>
      </c>
      <c r="B2" s="15">
        <v>372237</v>
      </c>
    </row>
    <row r="3" spans="1:4" ht="17.399999999999999">
      <c r="A3" s="22">
        <v>44958</v>
      </c>
      <c r="B3" s="15">
        <v>231407</v>
      </c>
    </row>
    <row r="4" spans="1:4" ht="17.399999999999999">
      <c r="A4" s="22">
        <v>44986</v>
      </c>
      <c r="B4" s="15">
        <v>469500</v>
      </c>
    </row>
    <row r="5" spans="1:4" ht="17.399999999999999">
      <c r="A5" s="22">
        <v>45017</v>
      </c>
      <c r="B5" s="15">
        <v>385410</v>
      </c>
    </row>
    <row r="6" spans="1:4" ht="17.399999999999999">
      <c r="A6" s="22">
        <v>45047</v>
      </c>
      <c r="B6" s="15">
        <v>480468</v>
      </c>
    </row>
    <row r="7" spans="1:4" ht="17.399999999999999">
      <c r="A7" s="22">
        <v>45078</v>
      </c>
      <c r="B7" s="15">
        <v>400254</v>
      </c>
    </row>
    <row r="8" spans="1:4" ht="17.399999999999999">
      <c r="A8" s="22">
        <v>45108</v>
      </c>
      <c r="B8" s="15">
        <v>352678</v>
      </c>
    </row>
    <row r="9" spans="1:4" ht="17.399999999999999">
      <c r="A9" s="22">
        <v>45139</v>
      </c>
      <c r="B9" s="15">
        <v>610526</v>
      </c>
    </row>
    <row r="10" spans="1:4" ht="17.399999999999999">
      <c r="A10" s="22">
        <v>45170</v>
      </c>
      <c r="B10" s="15">
        <v>524766</v>
      </c>
    </row>
    <row r="11" spans="1:4" ht="17.399999999999999">
      <c r="A11" s="22">
        <v>45200</v>
      </c>
      <c r="B11" s="15">
        <v>675655</v>
      </c>
    </row>
    <row r="12" spans="1:4" ht="17.399999999999999">
      <c r="A12" s="22">
        <v>45231</v>
      </c>
      <c r="B12" s="15">
        <v>568493</v>
      </c>
    </row>
    <row r="13" spans="1:4" ht="17.399999999999999">
      <c r="A13" s="22">
        <v>45261</v>
      </c>
      <c r="B13" s="15">
        <v>497646</v>
      </c>
    </row>
    <row r="14" spans="1:4" ht="17.399999999999999">
      <c r="A14" s="22">
        <v>45292</v>
      </c>
      <c r="B14" s="15">
        <v>372171</v>
      </c>
    </row>
    <row r="15" spans="1:4" ht="17.399999999999999">
      <c r="A15" s="22">
        <v>45323</v>
      </c>
      <c r="B15" s="15">
        <v>412667</v>
      </c>
    </row>
    <row r="16" spans="1:4" ht="17.399999999999999">
      <c r="A16" s="22">
        <v>45352</v>
      </c>
      <c r="B16" s="15">
        <v>457719</v>
      </c>
    </row>
    <row r="17" spans="1:2" ht="17.399999999999999">
      <c r="A17" s="22">
        <v>45383</v>
      </c>
      <c r="B17" s="15">
        <v>569683</v>
      </c>
    </row>
    <row r="18" spans="1:2" ht="17.399999999999999">
      <c r="A18" s="22">
        <v>45413</v>
      </c>
      <c r="B18" s="15">
        <v>557012</v>
      </c>
    </row>
    <row r="19" spans="1:2" ht="17.399999999999999">
      <c r="A19" s="22">
        <v>45444</v>
      </c>
      <c r="B19" s="15">
        <v>368536</v>
      </c>
    </row>
    <row r="20" spans="1:2" ht="17.399999999999999">
      <c r="A20" s="22">
        <v>45474</v>
      </c>
      <c r="B20" s="15">
        <v>298401</v>
      </c>
    </row>
    <row r="21" spans="1:2" ht="17.399999999999999">
      <c r="A21" s="22">
        <v>45505</v>
      </c>
      <c r="B21" s="15">
        <v>501093</v>
      </c>
    </row>
    <row r="22" spans="1:2" ht="17.399999999999999">
      <c r="A22" s="22">
        <v>45536</v>
      </c>
      <c r="B22" s="15">
        <v>474190</v>
      </c>
    </row>
    <row r="23" spans="1:2" ht="17.399999999999999">
      <c r="A23" s="22">
        <v>45566</v>
      </c>
      <c r="B23" s="15">
        <v>636932</v>
      </c>
    </row>
    <row r="24" spans="1:2" ht="17.399999999999999">
      <c r="A24" s="22">
        <v>45597</v>
      </c>
      <c r="B24" s="15">
        <v>550675</v>
      </c>
    </row>
    <row r="25" spans="1:2" ht="17.399999999999999">
      <c r="A25" s="22">
        <v>45627</v>
      </c>
      <c r="B25" s="15">
        <v>632336</v>
      </c>
    </row>
    <row r="26" spans="1:2" ht="17.399999999999999">
      <c r="A26" s="22">
        <v>45658</v>
      </c>
      <c r="B26" s="15">
        <v>497296</v>
      </c>
    </row>
    <row r="27" spans="1:2" ht="17.399999999999999">
      <c r="A27" s="22">
        <v>45689</v>
      </c>
      <c r="B27" s="15">
        <v>513835</v>
      </c>
    </row>
    <row r="28" spans="1:2" ht="17.399999999999999">
      <c r="A28" s="22">
        <v>45717</v>
      </c>
      <c r="B28" s="15">
        <v>550218</v>
      </c>
    </row>
    <row r="29" spans="1:2" ht="17.399999999999999">
      <c r="A29" s="22">
        <v>45748</v>
      </c>
      <c r="B29" s="15">
        <v>603840</v>
      </c>
    </row>
    <row r="30" spans="1:2" ht="17.399999999999999">
      <c r="A30" s="22">
        <v>45778</v>
      </c>
      <c r="B30" s="15">
        <v>530144</v>
      </c>
    </row>
    <row r="31" spans="1:2" ht="17.399999999999999">
      <c r="A31" s="22">
        <v>45809</v>
      </c>
      <c r="B31" s="15">
        <v>467738</v>
      </c>
    </row>
    <row r="32" spans="1:2" ht="17.399999999999999">
      <c r="A32" s="22">
        <v>45839</v>
      </c>
      <c r="B32" s="15">
        <v>392737</v>
      </c>
    </row>
    <row r="33" spans="1:3" ht="17.399999999999999">
      <c r="A33" s="22">
        <v>45870</v>
      </c>
      <c r="B33" s="15">
        <v>459357</v>
      </c>
    </row>
    <row r="34" spans="1:3" ht="17.399999999999999">
      <c r="A34" s="22">
        <v>45901</v>
      </c>
      <c r="B34" s="15">
        <v>562122</v>
      </c>
    </row>
    <row r="35" spans="1:3" ht="17.399999999999999">
      <c r="A35" s="22">
        <v>45931</v>
      </c>
      <c r="B35" s="15">
        <v>573956</v>
      </c>
    </row>
    <row r="36" spans="1:3" ht="17.399999999999999">
      <c r="A36" s="22">
        <v>45962</v>
      </c>
      <c r="B36" s="15">
        <v>777970</v>
      </c>
    </row>
    <row r="37" spans="1:3" ht="17.399999999999999">
      <c r="A37" s="22">
        <v>45992</v>
      </c>
      <c r="B37" s="15">
        <v>656876</v>
      </c>
    </row>
    <row r="38" spans="1:3" ht="17.399999999999999">
      <c r="A38" s="26">
        <f>EDATE(A37,1)</f>
        <v>46023</v>
      </c>
      <c r="B38" s="4"/>
      <c r="C38" s="27">
        <f>ROUND(_xlfn.FORECAST.ETS(A38, $B$2:$B$37, $A$2:$A$37, 1), 0)</f>
        <v>450991</v>
      </c>
    </row>
    <row r="39" spans="1:3" ht="17.399999999999999">
      <c r="A39" s="22">
        <f t="shared" ref="A39:A43" si="0">EDATE(A38,1)</f>
        <v>46054</v>
      </c>
      <c r="C39" s="15">
        <f t="shared" ref="C39:C43" si="1">ROUND(_xlfn.FORECAST.ETS(A39, $B$2:$B$37, $A$2:$A$37, 1), 0)</f>
        <v>620649</v>
      </c>
    </row>
    <row r="40" spans="1:3" ht="17.399999999999999">
      <c r="A40" s="22">
        <f t="shared" si="0"/>
        <v>46082</v>
      </c>
      <c r="C40" s="15">
        <f t="shared" si="1"/>
        <v>614563</v>
      </c>
    </row>
    <row r="41" spans="1:3" ht="17.399999999999999">
      <c r="A41" s="22">
        <f t="shared" si="0"/>
        <v>46113</v>
      </c>
      <c r="C41" s="15">
        <f t="shared" si="1"/>
        <v>676350</v>
      </c>
    </row>
    <row r="42" spans="1:3" ht="17.399999999999999">
      <c r="A42" s="22">
        <f t="shared" si="0"/>
        <v>46143</v>
      </c>
      <c r="C42" s="15">
        <f t="shared" si="1"/>
        <v>667482</v>
      </c>
    </row>
    <row r="43" spans="1:3" ht="17.399999999999999">
      <c r="A43" s="22">
        <f t="shared" si="0"/>
        <v>46174</v>
      </c>
      <c r="C43" s="15">
        <f t="shared" si="1"/>
        <v>557794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E834F-D62C-4C5A-A6C1-A5CE651C5767}">
  <dimension ref="A1:R23"/>
  <sheetViews>
    <sheetView showGridLines="0" tabSelected="1" workbookViewId="0">
      <selection activeCell="B23" sqref="B23"/>
    </sheetView>
  </sheetViews>
  <sheetFormatPr defaultRowHeight="15.6"/>
  <cols>
    <col min="1" max="1" width="27.8984375" customWidth="1"/>
    <col min="2" max="2" width="28" customWidth="1"/>
    <col min="4" max="4" width="20.69921875" customWidth="1"/>
    <col min="5" max="5" width="20.296875" customWidth="1"/>
    <col min="10" max="10" width="10.09765625" bestFit="1" customWidth="1"/>
    <col min="11" max="11" width="10.296875" bestFit="1" customWidth="1"/>
  </cols>
  <sheetData>
    <row r="1" spans="1:18" ht="21">
      <c r="A1" s="36" t="s">
        <v>35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</row>
    <row r="3" spans="1:18" ht="17.399999999999999">
      <c r="A3" s="13" t="s">
        <v>36</v>
      </c>
      <c r="B3" s="13" t="s">
        <v>51</v>
      </c>
    </row>
    <row r="4" spans="1:18">
      <c r="A4" t="s">
        <v>37</v>
      </c>
      <c r="B4" s="41">
        <v>0</v>
      </c>
    </row>
    <row r="5" spans="1:18">
      <c r="A5" t="s">
        <v>38</v>
      </c>
      <c r="B5" s="41">
        <v>0.03</v>
      </c>
    </row>
    <row r="6" spans="1:18">
      <c r="A6" t="s">
        <v>39</v>
      </c>
      <c r="B6" s="41">
        <v>-0.03</v>
      </c>
    </row>
    <row r="8" spans="1:18">
      <c r="A8" t="s">
        <v>40</v>
      </c>
      <c r="B8" s="42" t="s">
        <v>38</v>
      </c>
    </row>
    <row r="9" spans="1:18">
      <c r="A9" t="s">
        <v>41</v>
      </c>
      <c r="B9" s="28">
        <f>VLOOKUP(B8,$A$4:$B$6,2,FALSE)</f>
        <v>0.03</v>
      </c>
    </row>
    <row r="12" spans="1:18">
      <c r="A12" t="s">
        <v>10</v>
      </c>
      <c r="B12" s="29">
        <f>'P&amp;L Summary'!$B$9</f>
        <v>17986547</v>
      </c>
    </row>
    <row r="13" spans="1:18">
      <c r="A13" t="s">
        <v>42</v>
      </c>
      <c r="B13" s="30">
        <f>'P&amp;L Summary'!$E$9</f>
        <v>0.34630804901018525</v>
      </c>
    </row>
    <row r="14" spans="1:18">
      <c r="A14" t="s">
        <v>43</v>
      </c>
      <c r="B14" s="31">
        <f>B13+B9</f>
        <v>0.37630804901018522</v>
      </c>
    </row>
    <row r="15" spans="1:18">
      <c r="A15" t="s">
        <v>44</v>
      </c>
      <c r="B15" s="29">
        <f>B12*B14</f>
        <v>6768482.4100000001</v>
      </c>
    </row>
    <row r="16" spans="1:18">
      <c r="A16" t="s">
        <v>45</v>
      </c>
      <c r="B16" s="6">
        <f>B12*Assumption!$B$7</f>
        <v>5036233.16</v>
      </c>
    </row>
    <row r="17" spans="1:5">
      <c r="A17" s="10" t="s">
        <v>26</v>
      </c>
      <c r="B17" s="12">
        <f>B15-B16</f>
        <v>1732249.25</v>
      </c>
    </row>
    <row r="18" spans="1:5" ht="16.2" thickBot="1">
      <c r="A18" s="5" t="s">
        <v>27</v>
      </c>
      <c r="B18" s="19">
        <f>B17/B12</f>
        <v>9.630804901018522E-2</v>
      </c>
    </row>
    <row r="19" spans="1:5" ht="16.2" thickTop="1"/>
    <row r="20" spans="1:5">
      <c r="D20" s="40" t="s">
        <v>36</v>
      </c>
      <c r="E20" s="39" t="s">
        <v>46</v>
      </c>
    </row>
    <row r="21" spans="1:5">
      <c r="D21" t="s">
        <v>37</v>
      </c>
      <c r="E21" s="38">
        <f>B12*(B13+$B$4)-B16</f>
        <v>1192652.8399999999</v>
      </c>
    </row>
    <row r="22" spans="1:5">
      <c r="D22" t="s">
        <v>38</v>
      </c>
      <c r="E22" s="38">
        <f>B12*(B13+$B$5)-B16</f>
        <v>1732249.25</v>
      </c>
    </row>
    <row r="23" spans="1:5">
      <c r="D23" t="s">
        <v>39</v>
      </c>
      <c r="E23" s="38">
        <f>B12*(B13+$B$6)-B16</f>
        <v>653056.43000000063</v>
      </c>
    </row>
  </sheetData>
  <mergeCells count="3">
    <mergeCell ref="A1:J1"/>
    <mergeCell ref="K1:N1"/>
    <mergeCell ref="O1:R1"/>
  </mergeCells>
  <dataValidations count="1">
    <dataValidation type="list" allowBlank="1" showInputMessage="1" showErrorMessage="1" sqref="B8" xr:uid="{4944A4B3-7E41-43AD-8F7B-0F70D4D8171B}">
      <formula1>$A$4:$A$6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34E1E-7E4A-4FF3-9DB0-86D55A94CDB5}">
  <dimension ref="A1:B7"/>
  <sheetViews>
    <sheetView showGridLines="0" zoomScale="115" zoomScaleNormal="115" workbookViewId="0">
      <selection activeCell="D27" sqref="D27"/>
    </sheetView>
  </sheetViews>
  <sheetFormatPr defaultRowHeight="15.6"/>
  <cols>
    <col min="1" max="1" width="49.3984375" customWidth="1"/>
    <col min="2" max="2" width="16.59765625" customWidth="1"/>
  </cols>
  <sheetData>
    <row r="1" spans="1:2" ht="17.399999999999999">
      <c r="A1" s="13" t="s">
        <v>15</v>
      </c>
      <c r="B1" s="13" t="s">
        <v>28</v>
      </c>
    </row>
    <row r="2" spans="1:2">
      <c r="A2" t="s">
        <v>16</v>
      </c>
      <c r="B2" s="1">
        <v>0.1</v>
      </c>
    </row>
    <row r="3" spans="1:2">
      <c r="A3" t="s">
        <v>17</v>
      </c>
      <c r="B3" s="1">
        <v>0.08</v>
      </c>
    </row>
    <row r="4" spans="1:2">
      <c r="A4" t="s">
        <v>18</v>
      </c>
      <c r="B4" s="2">
        <v>0.04</v>
      </c>
    </row>
    <row r="5" spans="1:2">
      <c r="A5" t="s">
        <v>19</v>
      </c>
      <c r="B5" s="1">
        <v>0.03</v>
      </c>
    </row>
    <row r="6" spans="1:2">
      <c r="A6" t="s">
        <v>20</v>
      </c>
      <c r="B6" s="1">
        <v>0.03</v>
      </c>
    </row>
    <row r="7" spans="1:2">
      <c r="A7" s="16" t="s">
        <v>21</v>
      </c>
      <c r="B7" s="17">
        <f>SUM(B2:B6)</f>
        <v>0.28000000000000003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1170E-1160-4F1C-90BF-4AAEBAD2B557}">
  <dimension ref="A1:H39"/>
  <sheetViews>
    <sheetView showGridLines="0" workbookViewId="0">
      <selection activeCell="D10" sqref="D10"/>
    </sheetView>
  </sheetViews>
  <sheetFormatPr defaultRowHeight="15.6"/>
  <cols>
    <col min="1" max="1" width="16.09765625" customWidth="1"/>
    <col min="2" max="2" width="19.59765625" customWidth="1"/>
    <col min="3" max="3" width="16.09765625" customWidth="1"/>
    <col min="4" max="4" width="25.69921875" customWidth="1"/>
    <col min="5" max="5" width="19.19921875" customWidth="1"/>
    <col min="6" max="6" width="14.5" customWidth="1"/>
    <col min="7" max="7" width="17.09765625" customWidth="1"/>
    <col min="8" max="8" width="19.296875" customWidth="1"/>
  </cols>
  <sheetData>
    <row r="1" spans="1:8">
      <c r="A1" s="37" t="s">
        <v>47</v>
      </c>
      <c r="B1" s="37"/>
      <c r="C1" s="37"/>
      <c r="D1" s="37"/>
      <c r="F1" s="37" t="s">
        <v>48</v>
      </c>
      <c r="G1" s="37"/>
      <c r="H1" s="37"/>
    </row>
    <row r="2" spans="1:8" ht="17.399999999999999">
      <c r="A2" s="13" t="s">
        <v>0</v>
      </c>
      <c r="B2" s="13" t="s">
        <v>1</v>
      </c>
      <c r="C2" s="13" t="s">
        <v>2</v>
      </c>
      <c r="D2" s="13" t="s">
        <v>3</v>
      </c>
      <c r="F2" s="13" t="s">
        <v>31</v>
      </c>
      <c r="G2" s="13" t="s">
        <v>1</v>
      </c>
      <c r="H2" s="13" t="s">
        <v>3</v>
      </c>
    </row>
    <row r="3" spans="1:8" ht="17.399999999999999">
      <c r="A3" s="3" t="s">
        <v>4</v>
      </c>
      <c r="B3" s="15">
        <v>5411562</v>
      </c>
      <c r="C3" s="15">
        <v>3505759</v>
      </c>
      <c r="D3" s="15">
        <v>1905803</v>
      </c>
      <c r="E3" s="15"/>
      <c r="F3" s="22">
        <v>44927</v>
      </c>
      <c r="G3" s="3">
        <v>372237</v>
      </c>
      <c r="H3" s="3">
        <v>27434</v>
      </c>
    </row>
    <row r="4" spans="1:8" ht="17.399999999999999">
      <c r="A4" s="3" t="s">
        <v>5</v>
      </c>
      <c r="B4" s="15">
        <v>4157866</v>
      </c>
      <c r="C4" s="15">
        <v>2894078</v>
      </c>
      <c r="D4" s="15">
        <v>1263788</v>
      </c>
      <c r="E4" s="15"/>
      <c r="F4" s="22">
        <v>44958</v>
      </c>
      <c r="G4" s="3">
        <v>231407</v>
      </c>
      <c r="H4" s="3">
        <v>94126</v>
      </c>
    </row>
    <row r="5" spans="1:8" ht="17.399999999999999">
      <c r="A5" s="3" t="s">
        <v>6</v>
      </c>
      <c r="B5" s="15">
        <v>3597071</v>
      </c>
      <c r="C5" s="15">
        <v>2205797</v>
      </c>
      <c r="D5" s="15">
        <v>1391274</v>
      </c>
      <c r="E5" s="15"/>
      <c r="F5" s="22">
        <v>44986</v>
      </c>
      <c r="G5" s="3">
        <v>469500</v>
      </c>
      <c r="H5" s="3">
        <v>193365</v>
      </c>
    </row>
    <row r="6" spans="1:8" ht="17.399999999999999">
      <c r="A6" s="3" t="s">
        <v>7</v>
      </c>
      <c r="B6" s="15">
        <v>3491305</v>
      </c>
      <c r="C6" s="15">
        <v>2342499</v>
      </c>
      <c r="D6" s="15">
        <v>1148806</v>
      </c>
      <c r="E6" s="15"/>
      <c r="F6" s="22">
        <v>45017</v>
      </c>
      <c r="G6" s="3">
        <v>385410</v>
      </c>
      <c r="H6" s="3">
        <v>157698</v>
      </c>
    </row>
    <row r="7" spans="1:8" ht="17.399999999999999">
      <c r="A7" s="3" t="s">
        <v>8</v>
      </c>
      <c r="B7" s="15">
        <v>1328743</v>
      </c>
      <c r="C7" s="15">
        <v>809528</v>
      </c>
      <c r="D7" s="15">
        <v>519215</v>
      </c>
      <c r="E7" s="15"/>
      <c r="F7" s="22">
        <v>45047</v>
      </c>
      <c r="G7" s="3">
        <v>480468</v>
      </c>
      <c r="H7" s="3">
        <v>195508</v>
      </c>
    </row>
    <row r="8" spans="1:8" ht="17.399999999999999">
      <c r="A8" s="18" t="s">
        <v>14</v>
      </c>
      <c r="B8" s="34">
        <f>SUM(B3:B7)</f>
        <v>17986547</v>
      </c>
      <c r="C8" s="34">
        <f>SUM(C3:C7)</f>
        <v>11757661</v>
      </c>
      <c r="D8" s="34">
        <f>SUM(D3:D7)</f>
        <v>6228886</v>
      </c>
      <c r="E8" s="24"/>
      <c r="F8" s="22">
        <v>45078</v>
      </c>
      <c r="G8" s="3">
        <v>400254</v>
      </c>
      <c r="H8" s="3">
        <v>156180</v>
      </c>
    </row>
    <row r="9" spans="1:8" ht="17.399999999999999">
      <c r="F9" s="22">
        <v>45108</v>
      </c>
      <c r="G9" s="3">
        <v>352678</v>
      </c>
      <c r="H9" s="3">
        <v>34437</v>
      </c>
    </row>
    <row r="10" spans="1:8" ht="17.399999999999999">
      <c r="F10" s="22">
        <v>45139</v>
      </c>
      <c r="G10" s="3">
        <v>610526</v>
      </c>
      <c r="H10" s="3">
        <v>240213</v>
      </c>
    </row>
    <row r="11" spans="1:8" ht="17.399999999999999">
      <c r="F11" s="22">
        <v>45170</v>
      </c>
      <c r="G11" s="3">
        <v>524766</v>
      </c>
      <c r="H11" s="3">
        <v>202571</v>
      </c>
    </row>
    <row r="12" spans="1:8" ht="17.399999999999999">
      <c r="F12" s="22">
        <v>45200</v>
      </c>
      <c r="G12" s="3">
        <v>675655</v>
      </c>
      <c r="H12" s="3">
        <v>239715</v>
      </c>
    </row>
    <row r="13" spans="1:8" ht="17.399999999999999">
      <c r="F13" s="22">
        <v>45231</v>
      </c>
      <c r="G13" s="3">
        <v>568493</v>
      </c>
      <c r="H13" s="3">
        <v>200759</v>
      </c>
    </row>
    <row r="14" spans="1:8" ht="17.399999999999999">
      <c r="F14" s="22">
        <v>45261</v>
      </c>
      <c r="G14" s="3">
        <v>497646</v>
      </c>
      <c r="H14" s="3">
        <v>184095</v>
      </c>
    </row>
    <row r="15" spans="1:8" ht="17.399999999999999">
      <c r="F15" s="22">
        <v>45292</v>
      </c>
      <c r="G15" s="3">
        <v>372171</v>
      </c>
      <c r="H15" s="3">
        <v>32168</v>
      </c>
    </row>
    <row r="16" spans="1:8" ht="17.399999999999999">
      <c r="F16" s="22">
        <v>45323</v>
      </c>
      <c r="G16" s="3">
        <v>412667</v>
      </c>
      <c r="H16" s="3">
        <v>165432</v>
      </c>
    </row>
    <row r="17" spans="6:8" ht="17.399999999999999">
      <c r="F17" s="22">
        <v>45352</v>
      </c>
      <c r="G17" s="3">
        <v>457719</v>
      </c>
      <c r="H17" s="3">
        <v>187285</v>
      </c>
    </row>
    <row r="18" spans="6:8" ht="17.399999999999999">
      <c r="F18" s="22">
        <v>45383</v>
      </c>
      <c r="G18" s="3">
        <v>569683</v>
      </c>
      <c r="H18" s="3">
        <v>234057</v>
      </c>
    </row>
    <row r="19" spans="6:8" ht="17.399999999999999">
      <c r="F19" s="22">
        <v>45413</v>
      </c>
      <c r="G19" s="3">
        <v>557012</v>
      </c>
      <c r="H19" s="3">
        <v>222001</v>
      </c>
    </row>
    <row r="20" spans="6:8" ht="17.399999999999999">
      <c r="F20" s="22">
        <v>45444</v>
      </c>
      <c r="G20" s="3">
        <v>368536</v>
      </c>
      <c r="H20" s="3">
        <v>143352</v>
      </c>
    </row>
    <row r="21" spans="6:8" ht="17.399999999999999">
      <c r="F21" s="22">
        <v>45474</v>
      </c>
      <c r="G21" s="3">
        <v>298401</v>
      </c>
      <c r="H21" s="3">
        <v>38374</v>
      </c>
    </row>
    <row r="22" spans="6:8" ht="17.399999999999999">
      <c r="F22" s="22">
        <v>45505</v>
      </c>
      <c r="G22" s="3">
        <v>501093</v>
      </c>
      <c r="H22" s="3">
        <v>191941</v>
      </c>
    </row>
    <row r="23" spans="6:8" ht="17.399999999999999">
      <c r="F23" s="22">
        <v>45536</v>
      </c>
      <c r="G23" s="3">
        <v>474190</v>
      </c>
      <c r="H23" s="3">
        <v>183645</v>
      </c>
    </row>
    <row r="24" spans="6:8" ht="17.399999999999999">
      <c r="F24" s="22">
        <v>45566</v>
      </c>
      <c r="G24" s="3">
        <v>636932</v>
      </c>
      <c r="H24" s="3">
        <v>208951</v>
      </c>
    </row>
    <row r="25" spans="6:8" ht="17.399999999999999">
      <c r="F25" s="22">
        <v>45597</v>
      </c>
      <c r="G25" s="3">
        <v>550675</v>
      </c>
      <c r="H25" s="3">
        <v>206012</v>
      </c>
    </row>
    <row r="26" spans="6:8" ht="17.399999999999999">
      <c r="F26" s="22">
        <v>45627</v>
      </c>
      <c r="G26" s="3">
        <v>632336</v>
      </c>
      <c r="H26" s="3">
        <v>234934</v>
      </c>
    </row>
    <row r="27" spans="6:8" ht="17.399999999999999">
      <c r="F27" s="22">
        <v>45658</v>
      </c>
      <c r="G27" s="3">
        <v>497296</v>
      </c>
      <c r="H27" s="3">
        <v>44799</v>
      </c>
    </row>
    <row r="28" spans="6:8" ht="17.399999999999999">
      <c r="F28" s="22">
        <v>45689</v>
      </c>
      <c r="G28" s="3">
        <v>513835</v>
      </c>
      <c r="H28" s="3">
        <v>205856</v>
      </c>
    </row>
    <row r="29" spans="6:8" ht="17.399999999999999">
      <c r="F29" s="22">
        <v>45717</v>
      </c>
      <c r="G29" s="3">
        <v>550218</v>
      </c>
      <c r="H29" s="3">
        <v>223243</v>
      </c>
    </row>
    <row r="30" spans="6:8" ht="17.399999999999999">
      <c r="F30" s="22">
        <v>45748</v>
      </c>
      <c r="G30" s="3">
        <v>603840</v>
      </c>
      <c r="H30" s="3">
        <v>246531</v>
      </c>
    </row>
    <row r="31" spans="6:8" ht="17.399999999999999">
      <c r="F31" s="22">
        <v>45778</v>
      </c>
      <c r="G31" s="3">
        <v>530144</v>
      </c>
      <c r="H31" s="3">
        <v>213459</v>
      </c>
    </row>
    <row r="32" spans="6:8" ht="17.399999999999999">
      <c r="F32" s="22">
        <v>45809</v>
      </c>
      <c r="G32" s="3">
        <v>467738</v>
      </c>
      <c r="H32" s="3">
        <v>185744</v>
      </c>
    </row>
    <row r="33" spans="6:8" ht="17.399999999999999">
      <c r="F33" s="22">
        <v>45839</v>
      </c>
      <c r="G33" s="3">
        <v>392737</v>
      </c>
      <c r="H33" s="3">
        <v>48135</v>
      </c>
    </row>
    <row r="34" spans="6:8" ht="17.399999999999999">
      <c r="F34" s="22">
        <v>45870</v>
      </c>
      <c r="G34" s="3">
        <v>459357</v>
      </c>
      <c r="H34" s="3">
        <v>179764</v>
      </c>
    </row>
    <row r="35" spans="6:8" ht="17.399999999999999">
      <c r="F35" s="22">
        <v>45901</v>
      </c>
      <c r="G35" s="3">
        <v>562122</v>
      </c>
      <c r="H35" s="3">
        <v>218426</v>
      </c>
    </row>
    <row r="36" spans="6:8" ht="17.399999999999999">
      <c r="F36" s="22">
        <v>45931</v>
      </c>
      <c r="G36" s="3">
        <v>573956</v>
      </c>
      <c r="H36" s="3">
        <v>191017</v>
      </c>
    </row>
    <row r="37" spans="6:8" ht="17.399999999999999">
      <c r="F37" s="22">
        <v>45962</v>
      </c>
      <c r="G37" s="3">
        <v>777970</v>
      </c>
      <c r="H37" s="3">
        <v>274976</v>
      </c>
    </row>
    <row r="38" spans="6:8" ht="17.399999999999999">
      <c r="F38" s="22">
        <v>45992</v>
      </c>
      <c r="G38" s="3">
        <v>656876</v>
      </c>
      <c r="H38" s="3">
        <v>222680</v>
      </c>
    </row>
    <row r="39" spans="6:8" ht="17.399999999999999">
      <c r="F39" s="32" t="s">
        <v>14</v>
      </c>
      <c r="G39" s="33">
        <f>SUM(G3:G38)</f>
        <v>17986544</v>
      </c>
      <c r="H39" s="33">
        <f>SUM(H3:H38)</f>
        <v>6228883</v>
      </c>
    </row>
  </sheetData>
  <mergeCells count="2">
    <mergeCell ref="A1:D1"/>
    <mergeCell ref="F1:H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37BEBEE-D55C-4936-BEC7-6797DB70484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P&amp;L Summary</vt:lpstr>
      <vt:lpstr>Trend &amp; Forecast</vt:lpstr>
      <vt:lpstr>Scenario Analysis</vt:lpstr>
      <vt:lpstr>Assumption</vt:lpstr>
      <vt:lpstr> Data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Gokul R Nair</dc:creator>
  <cp:lastModifiedBy>Gokul R Nair</cp:lastModifiedBy>
  <dcterms:created xsi:type="dcterms:W3CDTF">2026-06-26T10:46:38Z</dcterms:created>
  <dcterms:modified xsi:type="dcterms:W3CDTF">2026-06-29T08:40:48Z</dcterms:modified>
</cp:coreProperties>
</file>